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va_nunn\Documents\Reisekostenabrechnung\2026\"/>
    </mc:Choice>
  </mc:AlternateContent>
  <xr:revisionPtr revIDLastSave="0" documentId="13_ncr:1_{CA44D931-A3F3-4BAA-AF77-97EAAD36C6CA}" xr6:coauthVersionLast="47" xr6:coauthVersionMax="47" xr10:uidLastSave="{00000000-0000-0000-0000-000000000000}"/>
  <bookViews>
    <workbookView xWindow="8430" yWindow="4060" windowWidth="28800" windowHeight="15410" xr2:uid="{D866CA53-7301-4686-9728-0B787E8A7A72}"/>
  </bookViews>
  <sheets>
    <sheet name="Reisekostenabrechung" sheetId="4" r:id="rId1"/>
    <sheet name="Datentabellen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5" i="4"/>
  <c r="E13" i="4"/>
  <c r="C14" i="4"/>
  <c r="C15" i="4"/>
  <c r="C13" i="4"/>
  <c r="H4" i="4" l="1"/>
  <c r="L4" i="4" s="1"/>
  <c r="G4" i="4"/>
  <c r="G8" i="4" l="1"/>
  <c r="G9" i="4"/>
  <c r="G11" i="4"/>
  <c r="G12" i="4"/>
  <c r="G13" i="4"/>
  <c r="G14" i="4"/>
  <c r="G15" i="4"/>
  <c r="G16" i="4"/>
  <c r="G17" i="4"/>
  <c r="G18" i="4"/>
  <c r="G19" i="4"/>
  <c r="G20" i="4"/>
  <c r="G21" i="4"/>
  <c r="G23" i="4"/>
  <c r="G24" i="4"/>
  <c r="G25" i="4"/>
  <c r="G26" i="4"/>
  <c r="G27" i="4"/>
  <c r="G22" i="4"/>
  <c r="G7" i="4"/>
  <c r="G6" i="4"/>
  <c r="G5" i="4"/>
  <c r="H21" i="4" l="1"/>
  <c r="H26" i="4"/>
  <c r="H27" i="4"/>
  <c r="L27" i="4"/>
  <c r="H25" i="4"/>
  <c r="L26" i="4"/>
  <c r="H24" i="4"/>
  <c r="L25" i="4"/>
  <c r="H23" i="4"/>
  <c r="L24" i="4"/>
  <c r="H22" i="4"/>
  <c r="L22" i="4" s="1"/>
  <c r="L23" i="4"/>
  <c r="L21" i="4"/>
  <c r="H20" i="4"/>
  <c r="L20" i="4"/>
  <c r="H19" i="4"/>
  <c r="L19" i="4"/>
  <c r="H18" i="4"/>
  <c r="L18" i="4"/>
  <c r="H17" i="4"/>
  <c r="L17" i="4"/>
  <c r="H16" i="4"/>
  <c r="L16" i="4"/>
  <c r="H15" i="4"/>
  <c r="L15" i="4"/>
  <c r="H14" i="4"/>
  <c r="L14" i="4" s="1"/>
  <c r="H13" i="4"/>
  <c r="L13" i="4"/>
  <c r="H12" i="4"/>
  <c r="L12" i="4"/>
  <c r="H11" i="4"/>
  <c r="L11" i="4"/>
  <c r="H9" i="4"/>
  <c r="L9" i="4" s="1"/>
  <c r="H8" i="4"/>
  <c r="L8" i="4" s="1"/>
  <c r="H7" i="4"/>
  <c r="L7" i="4" s="1"/>
  <c r="H6" i="4"/>
  <c r="L6" i="4" s="1"/>
  <c r="H5" i="4"/>
  <c r="L5" i="4" s="1"/>
  <c r="E22" i="4" l="1"/>
  <c r="B20" i="4"/>
  <c r="B21" i="4"/>
  <c r="E21" i="4" s="1"/>
  <c r="E20" i="4" l="1"/>
  <c r="E23" i="4" s="1"/>
  <c r="B24" i="4" s="1"/>
</calcChain>
</file>

<file path=xl/sharedStrings.xml><?xml version="1.0" encoding="utf-8"?>
<sst xmlns="http://schemas.openxmlformats.org/spreadsheetml/2006/main" count="76" uniqueCount="62">
  <si>
    <t>Mitarbeiterdaten</t>
  </si>
  <si>
    <t>Reisedaten</t>
  </si>
  <si>
    <t>Ort, Datum und Unterschrift Mitarbeiter</t>
  </si>
  <si>
    <t>Tag</t>
  </si>
  <si>
    <t>Datum</t>
  </si>
  <si>
    <t>Pauschale</t>
  </si>
  <si>
    <t>Abzug Frühstück</t>
  </si>
  <si>
    <t>Abzug Mittagessen</t>
  </si>
  <si>
    <t>Abzug Abendessen</t>
  </si>
  <si>
    <t>Abzüge</t>
  </si>
  <si>
    <t>Reisebeginn (Ist-):</t>
  </si>
  <si>
    <t>Uhrzeit (Ist-):</t>
  </si>
  <si>
    <t>Reiseende (Ist-):</t>
  </si>
  <si>
    <t>Kosten</t>
  </si>
  <si>
    <t>bitte Verkehrsmittel auswählen</t>
  </si>
  <si>
    <t>Erstattung:</t>
  </si>
  <si>
    <t>Abzüge für Frühstück (20%), Mittag- oder Abendessen (40%):</t>
  </si>
  <si>
    <t>Übernachtungskosten:</t>
  </si>
  <si>
    <t>Verpflegungspauschale
(8-24 Std. / An- &amp; Abreise):</t>
  </si>
  <si>
    <t>pro Tag</t>
  </si>
  <si>
    <t>Verpflegungspauschale
(ab 24 Std.):</t>
  </si>
  <si>
    <t>Bemerkungen:</t>
  </si>
  <si>
    <t>* Daten werden automatisch aus dem Antrag übernommen</t>
  </si>
  <si>
    <t>Transportmittel</t>
  </si>
  <si>
    <t>Kostenart</t>
  </si>
  <si>
    <t>Einheit</t>
  </si>
  <si>
    <t>Kostenfaktor</t>
  </si>
  <si>
    <t>Uhrzeit</t>
  </si>
  <si>
    <t xml:space="preserve"> </t>
  </si>
  <si>
    <t>PKW (Firmenfahrzeug)</t>
  </si>
  <si>
    <t>Treibstoffkosten:</t>
  </si>
  <si>
    <t>€</t>
  </si>
  <si>
    <t>PKW (privat)</t>
  </si>
  <si>
    <t>Anzahl Kilometer:</t>
  </si>
  <si>
    <t>km</t>
  </si>
  <si>
    <t>Bahn/ÖPNV</t>
  </si>
  <si>
    <t>Kosten Zugtickets</t>
  </si>
  <si>
    <t>Flugzeug</t>
  </si>
  <si>
    <t>Kosten Flugtickets</t>
  </si>
  <si>
    <t xml:space="preserve">Taxi </t>
  </si>
  <si>
    <t>Fahrtkosten:</t>
  </si>
  <si>
    <t>Sonstiges</t>
  </si>
  <si>
    <t>Kosten:</t>
  </si>
  <si>
    <t>Zu erstattende Kosten gesamt:</t>
  </si>
  <si>
    <t xml:space="preserve">Reisenebenkosten (ggf. unten erläutern) : </t>
  </si>
  <si>
    <t>PKW (Mietfahrzeug)</t>
  </si>
  <si>
    <t>Gesamtkosten</t>
  </si>
  <si>
    <t>Zu erstattende Verpflegungsaufwände:</t>
  </si>
  <si>
    <t>PKW (Mietfahrzeug, bereits bezahlt)</t>
  </si>
  <si>
    <t>Vorname*:</t>
  </si>
  <si>
    <t>Personalnummer*:</t>
  </si>
  <si>
    <t>Name*:</t>
  </si>
  <si>
    <t>Abteilung*:</t>
  </si>
  <si>
    <t>Reiseziel*:</t>
  </si>
  <si>
    <t>Grund der Reise*:</t>
  </si>
  <si>
    <t>Projektnummer*:</t>
  </si>
  <si>
    <t>Matthias</t>
  </si>
  <si>
    <t>Nunn</t>
  </si>
  <si>
    <t>Software-Entw.</t>
  </si>
  <si>
    <t>Karlsruhe</t>
  </si>
  <si>
    <t>Teamarbeit Softwareentwicklung</t>
  </si>
  <si>
    <t>Fahrt ab Wohnsitz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</si>
</sst>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h:mm;@"/>
    <numFmt numFmtId="166" formatCode="General&quot; Tage x&quot;"/>
    <numFmt numFmtId="167" formatCode="#,##0.00\ &quot;€&quot;&quot; pro Tag&quot;"/>
  </numFmts>
  <fonts count="21" x14ac:knownFonts="1">
    <font>
      <sz val="11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4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sz val="10"/>
      <name val="Aptos Display"/>
      <family val="2"/>
      <scheme val="major"/>
    </font>
    <font>
      <sz val="9"/>
      <name val="Aptos Display"/>
      <family val="2"/>
      <scheme val="major"/>
    </font>
    <font>
      <sz val="11"/>
      <name val="Aptos Display"/>
      <family val="2"/>
      <scheme val="major"/>
    </font>
    <font>
      <sz val="8"/>
      <name val="Aptos Display"/>
      <family val="2"/>
      <scheme val="major"/>
    </font>
    <font>
      <sz val="11"/>
      <color theme="1" tint="9.9978637043366805E-2"/>
      <name val="Aptos Display"/>
      <family val="2"/>
      <scheme val="major"/>
    </font>
    <font>
      <sz val="11"/>
      <color theme="0"/>
      <name val="Arial"/>
      <family val="2"/>
    </font>
    <font>
      <sz val="12"/>
      <color theme="0"/>
      <name val="Calibri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9"/>
      <color theme="1" tint="9.9978637043366805E-2"/>
      <name val="Aptos Display"/>
      <family val="2"/>
      <scheme val="major"/>
    </font>
    <font>
      <sz val="9"/>
      <color theme="1" tint="9.9948118533890809E-2"/>
      <name val="Aptos Display"/>
      <family val="2"/>
      <scheme val="major"/>
    </font>
    <font>
      <sz val="11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6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1"/>
    <xf numFmtId="0" fontId="5" fillId="0" borderId="0" xfId="1" applyFont="1"/>
    <xf numFmtId="0" fontId="4" fillId="0" borderId="2" xfId="1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8" fillId="0" borderId="0" xfId="0" applyFont="1" applyAlignment="1">
      <alignment horizontal="right" vertical="center"/>
    </xf>
    <xf numFmtId="0" fontId="12" fillId="0" borderId="0" xfId="1" applyFont="1"/>
    <xf numFmtId="0" fontId="13" fillId="0" borderId="0" xfId="1" applyFont="1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0" fontId="3" fillId="0" borderId="0" xfId="1" applyNumberForma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14" fontId="14" fillId="3" borderId="7" xfId="1" applyNumberFormat="1" applyFont="1" applyFill="1" applyBorder="1" applyAlignment="1">
      <alignment horizontal="center" vertical="center"/>
    </xf>
    <xf numFmtId="164" fontId="14" fillId="3" borderId="3" xfId="1" applyNumberFormat="1" applyFont="1" applyFill="1" applyBorder="1" applyAlignment="1">
      <alignment horizontal="center" vertical="center"/>
    </xf>
    <xf numFmtId="164" fontId="14" fillId="3" borderId="8" xfId="1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3" fillId="0" borderId="0" xfId="1" quotePrefix="1"/>
    <xf numFmtId="0" fontId="1" fillId="0" borderId="1" xfId="0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4" fontId="11" fillId="0" borderId="0" xfId="0" applyNumberFormat="1" applyFont="1" applyAlignment="1" applyProtection="1">
      <alignment vertical="center"/>
      <protection locked="0"/>
    </xf>
    <xf numFmtId="165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164" fontId="11" fillId="0" borderId="0" xfId="2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 hidden="1"/>
    </xf>
    <xf numFmtId="0" fontId="15" fillId="2" borderId="9" xfId="1" applyFont="1" applyFill="1" applyBorder="1" applyAlignment="1">
      <alignment horizontal="center" vertical="center"/>
    </xf>
    <xf numFmtId="1" fontId="14" fillId="3" borderId="10" xfId="1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 indent="5"/>
    </xf>
    <xf numFmtId="164" fontId="20" fillId="0" borderId="0" xfId="0" applyNumberFormat="1" applyFont="1" applyAlignment="1" applyProtection="1">
      <alignment vertical="center"/>
      <protection locked="0" hidden="1"/>
    </xf>
    <xf numFmtId="0" fontId="14" fillId="0" borderId="3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1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" xfId="0" applyFont="1" applyBorder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10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left" vertical="top"/>
    </xf>
    <xf numFmtId="0" fontId="9" fillId="0" borderId="0" xfId="0" applyFont="1" applyAlignment="1" applyProtection="1">
      <alignment vertical="center"/>
      <protection locked="0" hidden="1"/>
    </xf>
    <xf numFmtId="164" fontId="6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7" fontId="19" fillId="0" borderId="0" xfId="0" applyNumberFormat="1" applyFont="1" applyAlignment="1" applyProtection="1">
      <alignment horizontal="left" vertical="center"/>
      <protection locked="0"/>
    </xf>
  </cellXfs>
  <cellStyles count="3">
    <cellStyle name="Standard" xfId="0" builtinId="0"/>
    <cellStyle name="Standard 2" xfId="1" xr:uid="{6A60683A-9BEE-4CC8-985A-5F87E84A9C69}"/>
    <cellStyle name="Währung" xfId="2" builtinId="4"/>
  </cellStyles>
  <dxfs count="6">
    <dxf>
      <font>
        <color theme="0"/>
      </font>
    </dxf>
    <dxf>
      <fill>
        <patternFill patternType="none">
          <bgColor auto="1"/>
        </patternFill>
      </fill>
      <border>
        <bottom style="thin">
          <color auto="1"/>
        </bottom>
      </border>
    </dxf>
    <dxf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fmlaLink="B16" lockText="1" noThreeD="1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12700</xdr:rowOff>
        </xdr:from>
        <xdr:to>
          <xdr:col>2</xdr:col>
          <xdr:colOff>609600</xdr:colOff>
          <xdr:row>16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bereits von LIVA  bezahlt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7D996-6789-4CBA-AB74-301631FF69B7}" name="Tabelle1" displayName="Tabelle1" ref="A1:D10" totalsRowShown="0" headerRowDxfId="5" tableBorderDxfId="4" dataCellStyle="Standard 2">
  <autoFilter ref="A1:D10" xr:uid="{1827D996-6789-4CBA-AB74-301631FF69B7}"/>
  <tableColumns count="4">
    <tableColumn id="1" xr3:uid="{3E74FF0D-D3CD-4314-8A45-AC276EA035EF}" name="Transportmittel" dataCellStyle="Standard 2"/>
    <tableColumn id="2" xr3:uid="{CD7A80C1-18C3-495F-BA1B-A30F31F8A920}" name="Kostenart" dataCellStyle="Standard 2"/>
    <tableColumn id="4" xr3:uid="{86C5C37A-4456-4BF0-BFF2-D95E0DEB4E12}" name="Einheit" dataCellStyle="Standard 2"/>
    <tableColumn id="3" xr3:uid="{74B50164-B999-4796-ADA7-A4D78C5CD8E2}" name="Kostenfaktor" dataCellStyle="Standard 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256A1-B570-4D14-A9D2-3DAE9255655C}" name="Tabelle2" displayName="Tabelle2" ref="F1:F97" totalsRowShown="0" headerRowDxfId="3" headerRowCellStyle="Standard 2" dataCellStyle="Standard 2">
  <autoFilter ref="F1:F97" xr:uid="{8D6256A1-B570-4D14-A9D2-3DAE9255655C}"/>
  <tableColumns count="1">
    <tableColumn id="1" xr3:uid="{5AC15A09-7B23-4F27-97B7-5C5B57FA17FE}" name="Uhrzeit" dataDxfId="2" dataCellStyle="Standard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VA">
      <a:dk1>
        <a:srgbClr val="012852"/>
      </a:dk1>
      <a:lt1>
        <a:sysClr val="window" lastClr="FFFFFF"/>
      </a:lt1>
      <a:dk2>
        <a:srgbClr val="383B3E"/>
      </a:dk2>
      <a:lt2>
        <a:srgbClr val="E8E8E8"/>
      </a:lt2>
      <a:accent1>
        <a:srgbClr val="F9B617"/>
      </a:accent1>
      <a:accent2>
        <a:srgbClr val="3474AB"/>
      </a:accent2>
      <a:accent3>
        <a:srgbClr val="4EA72E"/>
      </a:accent3>
      <a:accent4>
        <a:srgbClr val="F9B617"/>
      </a:accent4>
      <a:accent5>
        <a:srgbClr val="965702"/>
      </a:accent5>
      <a:accent6>
        <a:srgbClr val="0070C0"/>
      </a:accent6>
      <a:hlink>
        <a:srgbClr val="0070C0"/>
      </a:hlink>
      <a:folHlink>
        <a:srgbClr val="50418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8AC2-22B6-424A-8E78-66877F2C058B}">
  <sheetPr codeName="Tabelle1"/>
  <dimension ref="A1:M29"/>
  <sheetViews>
    <sheetView showGridLines="0" tabSelected="1" showRuler="0" view="pageLayout" zoomScaleNormal="100" workbookViewId="0">
      <selection activeCell="A28" sqref="A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53125" defaultRowHeight="13" x14ac:dyDescent="0.3"/>
  <cols>
    <col min="1" max="1" width="40.453125" style="1" customWidth="1"/>
    <col min="2" max="2" width="11.453125" style="1"/>
    <col min="3" max="3" width="10.54296875" style="1" customWidth="1"/>
    <col min="4" max="4" width="9.54296875" style="1" customWidth="1"/>
    <col min="5" max="5" width="13.1796875" style="1" bestFit="1" customWidth="1"/>
    <col min="6" max="6" width="5.1796875" style="1" customWidth="1"/>
    <col min="7" max="7" width="11.1796875" style="1" customWidth="1"/>
    <col min="8" max="8" width="9.453125" style="1" customWidth="1"/>
    <col min="9" max="9" width="15.54296875" style="1" bestFit="1" customWidth="1"/>
    <col min="10" max="10" width="17.453125" style="1" bestFit="1" customWidth="1"/>
    <col min="11" max="11" width="17.54296875" style="1" bestFit="1" customWidth="1"/>
    <col min="12" max="12" width="7.81640625" style="1" customWidth="1"/>
    <col min="13" max="16384" width="11.453125" style="1"/>
  </cols>
  <sheetData>
    <row r="1" spans="1:13" ht="20.25" customHeight="1" x14ac:dyDescent="0.3">
      <c r="A1" s="15" t="s">
        <v>0</v>
      </c>
      <c r="B1" s="18"/>
      <c r="C1" s="17"/>
      <c r="D1" s="17"/>
      <c r="E1" s="17"/>
      <c r="F1" s="17"/>
    </row>
    <row r="2" spans="1:13" ht="20.25" customHeight="1" thickBot="1" x14ac:dyDescent="0.35">
      <c r="A2" s="12" t="s">
        <v>49</v>
      </c>
      <c r="B2" s="42" t="s">
        <v>56</v>
      </c>
      <c r="C2" s="12" t="s">
        <v>51</v>
      </c>
      <c r="D2" s="55" t="s">
        <v>57</v>
      </c>
      <c r="E2" s="55"/>
      <c r="F2" s="17"/>
    </row>
    <row r="3" spans="1:13" ht="20.25" customHeight="1" x14ac:dyDescent="0.3">
      <c r="A3" s="12" t="s">
        <v>50</v>
      </c>
      <c r="B3" s="42">
        <v>170010</v>
      </c>
      <c r="C3" s="12" t="s">
        <v>52</v>
      </c>
      <c r="D3" s="55" t="s">
        <v>58</v>
      </c>
      <c r="E3" s="55"/>
      <c r="F3" s="43" t="s">
        <v>3</v>
      </c>
      <c r="G3" s="22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4" t="s">
        <v>9</v>
      </c>
    </row>
    <row r="4" spans="1:13" ht="20.25" customHeight="1" x14ac:dyDescent="0.3">
      <c r="A4" s="16"/>
      <c r="B4" s="30"/>
      <c r="C4" s="16"/>
      <c r="D4" s="5"/>
      <c r="E4" s="5"/>
      <c r="F4" s="44">
        <v>1</v>
      </c>
      <c r="G4" s="25">
        <f>$B$6</f>
        <v>46050</v>
      </c>
      <c r="H4" s="26">
        <f>IF((B7+D7-(B6+D6))&gt;8/24,$C$20,0)</f>
        <v>14</v>
      </c>
      <c r="I4" s="49" t="b">
        <v>0</v>
      </c>
      <c r="J4" s="49" t="b">
        <v>0</v>
      </c>
      <c r="K4" s="49" t="b">
        <v>0</v>
      </c>
      <c r="L4" s="27">
        <f>MIN(IF(NOT(I4),0,0.2*$C$21)+IF(NOT(J4),0,0.4*$C$21)+IF(NOT(K4),0,0.4*$C$21),H4)</f>
        <v>0</v>
      </c>
      <c r="M4" s="21"/>
    </row>
    <row r="5" spans="1:13" s="4" customFormat="1" ht="20.25" customHeight="1" x14ac:dyDescent="0.35">
      <c r="A5" s="15" t="s">
        <v>1</v>
      </c>
      <c r="C5" s="17"/>
      <c r="F5" s="44">
        <v>2</v>
      </c>
      <c r="G5" s="25" t="str">
        <f>IF($G$4+F4&lt;=$B$7,$G$4+F4,"")</f>
        <v/>
      </c>
      <c r="H5" s="26" t="str">
        <f>IF(NOT(G6=""),$C$21,IF(NOT(G5=""),$C$20,""))</f>
        <v/>
      </c>
      <c r="I5" s="49" t="b">
        <v>0</v>
      </c>
      <c r="J5" s="49" t="b">
        <v>0</v>
      </c>
      <c r="K5" s="49" t="b">
        <v>0</v>
      </c>
      <c r="L5" s="27" t="str">
        <f>IF(G5="","",MIN(IF(NOT(I5),0,0.2*$C$21)+IF(NOT(J5),0,0.4*$C$21)+IF(NOT(K5),0,0.4*$C$21),H5))</f>
        <v/>
      </c>
    </row>
    <row r="6" spans="1:13" ht="20.25" customHeight="1" x14ac:dyDescent="0.3">
      <c r="A6" s="12" t="s">
        <v>10</v>
      </c>
      <c r="B6" s="35">
        <v>46050</v>
      </c>
      <c r="C6" s="12" t="s">
        <v>11</v>
      </c>
      <c r="D6" s="36">
        <v>0.29583333333333334</v>
      </c>
      <c r="E6" s="4"/>
      <c r="F6" s="44">
        <v>3</v>
      </c>
      <c r="G6" s="25" t="str">
        <f t="shared" ref="G6:G27" si="0">IF($G$4+F5&lt;=$B$7,$G$4+F5,"")</f>
        <v/>
      </c>
      <c r="H6" s="26" t="str">
        <f>IF(NOT(G7=""),$C$21,IF(NOT(G6=""),$C$20,""))</f>
        <v/>
      </c>
      <c r="I6" s="49" t="b">
        <v>0</v>
      </c>
      <c r="J6" s="49" t="b">
        <v>0</v>
      </c>
      <c r="K6" s="49" t="b">
        <v>0</v>
      </c>
      <c r="L6" s="27" t="str">
        <f t="shared" ref="L6:L27" si="1">IF(G6="","",MIN(IF(NOT(I6),0,0.2*$C$21)+IF(NOT(J6),0,0.4*$C$21)+IF(NOT(K6),0,0.4*$C$21),H6))</f>
        <v/>
      </c>
    </row>
    <row r="7" spans="1:13" ht="20.25" customHeight="1" x14ac:dyDescent="0.3">
      <c r="A7" s="12" t="s">
        <v>12</v>
      </c>
      <c r="B7" s="35">
        <v>46050</v>
      </c>
      <c r="C7" s="12" t="s">
        <v>11</v>
      </c>
      <c r="D7" s="36">
        <v>0.85902777777777772</v>
      </c>
      <c r="E7" s="4"/>
      <c r="F7" s="44">
        <v>4</v>
      </c>
      <c r="G7" s="25" t="str">
        <f t="shared" si="0"/>
        <v/>
      </c>
      <c r="H7" s="26" t="str">
        <f>IF(NOT(G8=""),$C$21,IF(NOT(G7=""),$C$20,""))</f>
        <v/>
      </c>
      <c r="I7" s="49" t="b">
        <v>0</v>
      </c>
      <c r="J7" s="49" t="b">
        <v>0</v>
      </c>
      <c r="K7" s="49" t="b">
        <v>0</v>
      </c>
      <c r="L7" s="27" t="str">
        <f>IF(G7="","",MIN(IF(NOT(I7),0,0.2*$C$21)+IF(NOT(J7),0,0.4*$C$21)+IF(NOT(K7),0,0.4*$C$21),H7))</f>
        <v/>
      </c>
    </row>
    <row r="8" spans="1:13" ht="20.25" customHeight="1" x14ac:dyDescent="0.3">
      <c r="A8" s="12" t="s">
        <v>53</v>
      </c>
      <c r="B8" s="55" t="s">
        <v>59</v>
      </c>
      <c r="C8" s="55"/>
      <c r="D8" s="55"/>
      <c r="E8" s="55"/>
      <c r="F8" s="44">
        <v>5</v>
      </c>
      <c r="G8" s="25" t="str">
        <f t="shared" si="0"/>
        <v/>
      </c>
      <c r="H8" s="26" t="str">
        <f>IF(NOT(G9=""),$C$21,IF(NOT(G8=""),$C$20,""))</f>
        <v/>
      </c>
      <c r="I8" s="49" t="b">
        <v>0</v>
      </c>
      <c r="J8" s="49" t="b">
        <v>0</v>
      </c>
      <c r="K8" s="49" t="b">
        <v>0</v>
      </c>
      <c r="L8" s="27" t="str">
        <f t="shared" si="1"/>
        <v/>
      </c>
    </row>
    <row r="9" spans="1:13" ht="20.25" customHeight="1" x14ac:dyDescent="0.3">
      <c r="A9" s="12" t="s">
        <v>54</v>
      </c>
      <c r="B9" s="55" t="s">
        <v>60</v>
      </c>
      <c r="C9" s="55"/>
      <c r="D9" s="55"/>
      <c r="E9" s="55"/>
      <c r="F9" s="44">
        <v>6</v>
      </c>
      <c r="G9" s="25" t="str">
        <f t="shared" si="0"/>
        <v/>
      </c>
      <c r="H9" s="26" t="str">
        <f>IF(NOT(G11=""),$C$21,IF(NOT(G9=""),$C$20,""))</f>
        <v/>
      </c>
      <c r="I9" s="49" t="b">
        <v>0</v>
      </c>
      <c r="J9" s="49" t="b">
        <v>0</v>
      </c>
      <c r="K9" s="49" t="b">
        <v>0</v>
      </c>
      <c r="L9" s="27" t="str">
        <f t="shared" si="1"/>
        <v/>
      </c>
    </row>
    <row r="10" spans="1:13" ht="20.25" customHeight="1" x14ac:dyDescent="0.3">
      <c r="A10" s="12" t="s">
        <v>55</v>
      </c>
      <c r="B10" s="55"/>
      <c r="C10" s="55"/>
      <c r="D10" s="55"/>
      <c r="E10" s="55"/>
      <c r="F10" s="44"/>
      <c r="G10" s="25"/>
      <c r="H10" s="26"/>
      <c r="I10" s="49" t="b">
        <v>0</v>
      </c>
      <c r="J10" s="49" t="b">
        <v>0</v>
      </c>
      <c r="K10" s="49" t="b">
        <v>0</v>
      </c>
      <c r="L10" s="27"/>
    </row>
    <row r="11" spans="1:13" ht="20.25" customHeight="1" x14ac:dyDescent="0.3">
      <c r="A11" s="16"/>
      <c r="B11" s="2"/>
      <c r="C11" s="5"/>
      <c r="D11" s="5"/>
      <c r="E11" s="5"/>
      <c r="F11" s="44">
        <v>7</v>
      </c>
      <c r="G11" s="25" t="str">
        <f>IF($G$4+F9&lt;=$B$7,$G$4+F9,"")</f>
        <v/>
      </c>
      <c r="H11" s="26" t="str">
        <f t="shared" ref="H11:H27" si="2">IF(NOT(G12=""),$C$21,IF(NOT(G11=""),$C$20,""))</f>
        <v/>
      </c>
      <c r="I11" s="49" t="b">
        <v>0</v>
      </c>
      <c r="J11" s="49" t="b">
        <v>0</v>
      </c>
      <c r="K11" s="49" t="b">
        <v>0</v>
      </c>
      <c r="L11" s="27" t="str">
        <f t="shared" si="1"/>
        <v/>
      </c>
    </row>
    <row r="12" spans="1:13" ht="20.25" customHeight="1" x14ac:dyDescent="0.3">
      <c r="A12" s="15" t="s">
        <v>13</v>
      </c>
      <c r="B12" s="4"/>
      <c r="C12" s="4"/>
      <c r="D12" s="4"/>
      <c r="E12" s="4"/>
      <c r="F12" s="44">
        <v>8</v>
      </c>
      <c r="G12" s="25" t="str">
        <f t="shared" si="0"/>
        <v/>
      </c>
      <c r="H12" s="26" t="str">
        <f t="shared" si="2"/>
        <v/>
      </c>
      <c r="I12" s="49" t="b">
        <v>0</v>
      </c>
      <c r="J12" s="49" t="b">
        <v>0</v>
      </c>
      <c r="K12" s="49" t="b">
        <v>0</v>
      </c>
      <c r="L12" s="27" t="str">
        <f t="shared" si="1"/>
        <v/>
      </c>
    </row>
    <row r="13" spans="1:13" ht="20.25" customHeight="1" x14ac:dyDescent="0.3">
      <c r="A13" s="41" t="s">
        <v>32</v>
      </c>
      <c r="B13" s="37">
        <v>374</v>
      </c>
      <c r="C13" s="33" t="str">
        <f>_xlfn.XLOOKUP(A13,Tabelle1[Transportmittel],Tabelle1[Einheit])</f>
        <v>km</v>
      </c>
      <c r="D13" s="34" t="s">
        <v>15</v>
      </c>
      <c r="E13" s="28">
        <f>IF(ISBLANK($B13),0,$B13*_xlfn.XLOOKUP(A13,Tabelle1[Transportmittel],Tabelle1[Kostenfaktor]))</f>
        <v>142.12</v>
      </c>
      <c r="F13" s="44">
        <v>9</v>
      </c>
      <c r="G13" s="25" t="str">
        <f t="shared" si="0"/>
        <v/>
      </c>
      <c r="H13" s="26" t="str">
        <f t="shared" si="2"/>
        <v/>
      </c>
      <c r="I13" s="49" t="b">
        <v>0</v>
      </c>
      <c r="J13" s="49" t="b">
        <v>0</v>
      </c>
      <c r="K13" s="49" t="b">
        <v>0</v>
      </c>
      <c r="L13" s="27" t="str">
        <f t="shared" si="1"/>
        <v/>
      </c>
    </row>
    <row r="14" spans="1:13" ht="20.25" customHeight="1" x14ac:dyDescent="0.3">
      <c r="A14" s="41" t="s">
        <v>14</v>
      </c>
      <c r="B14" s="37"/>
      <c r="C14" s="33" t="str">
        <f>_xlfn.XLOOKUP(A14,Tabelle1[Transportmittel],Tabelle1[Einheit])</f>
        <v xml:space="preserve"> </v>
      </c>
      <c r="D14" s="34" t="s">
        <v>15</v>
      </c>
      <c r="E14" s="28">
        <f>IF(ISBLANK($B14),0,$B14*_xlfn.XLOOKUP(A14,Tabelle1[Transportmittel],Tabelle1[Kostenfaktor]))</f>
        <v>0</v>
      </c>
      <c r="F14" s="44">
        <v>10</v>
      </c>
      <c r="G14" s="25" t="str">
        <f t="shared" si="0"/>
        <v/>
      </c>
      <c r="H14" s="26" t="str">
        <f t="shared" si="2"/>
        <v/>
      </c>
      <c r="I14" s="49" t="b">
        <v>0</v>
      </c>
      <c r="J14" s="49" t="b">
        <v>0</v>
      </c>
      <c r="K14" s="49" t="b">
        <v>0</v>
      </c>
      <c r="L14" s="27" t="str">
        <f t="shared" si="1"/>
        <v/>
      </c>
    </row>
    <row r="15" spans="1:13" ht="20.25" customHeight="1" x14ac:dyDescent="0.3">
      <c r="A15" s="41" t="s">
        <v>14</v>
      </c>
      <c r="B15" s="37"/>
      <c r="C15" s="33" t="str">
        <f>_xlfn.XLOOKUP(A15,Tabelle1[Transportmittel],Tabelle1[Einheit])</f>
        <v xml:space="preserve"> </v>
      </c>
      <c r="D15" s="34" t="s">
        <v>15</v>
      </c>
      <c r="E15" s="28">
        <f>IF(ISBLANK($B15),0,$B15*_xlfn.XLOOKUP(A15,Tabelle1[Transportmittel],Tabelle1[Kostenfaktor]))</f>
        <v>0</v>
      </c>
      <c r="F15" s="44">
        <v>11</v>
      </c>
      <c r="G15" s="25" t="str">
        <f t="shared" si="0"/>
        <v/>
      </c>
      <c r="H15" s="26" t="str">
        <f t="shared" si="2"/>
        <v/>
      </c>
      <c r="I15" s="49" t="b">
        <v>0</v>
      </c>
      <c r="J15" s="49" t="b">
        <v>0</v>
      </c>
      <c r="K15" s="49" t="b">
        <v>0</v>
      </c>
      <c r="L15" s="27" t="str">
        <f t="shared" si="1"/>
        <v/>
      </c>
    </row>
    <row r="16" spans="1:13" ht="20.25" customHeight="1" x14ac:dyDescent="0.3">
      <c r="A16" s="12" t="s">
        <v>17</v>
      </c>
      <c r="B16" s="48" t="b">
        <v>1</v>
      </c>
      <c r="C16" s="31"/>
      <c r="D16" s="31"/>
      <c r="E16" s="40">
        <v>0</v>
      </c>
      <c r="F16" s="44">
        <v>12</v>
      </c>
      <c r="G16" s="25" t="str">
        <f t="shared" si="0"/>
        <v/>
      </c>
      <c r="H16" s="26" t="str">
        <f t="shared" si="2"/>
        <v/>
      </c>
      <c r="I16" s="49" t="b">
        <v>0</v>
      </c>
      <c r="J16" s="49" t="b">
        <v>0</v>
      </c>
      <c r="K16" s="49" t="b">
        <v>0</v>
      </c>
      <c r="L16" s="27" t="str">
        <f t="shared" si="1"/>
        <v/>
      </c>
    </row>
    <row r="17" spans="1:12" ht="20.25" customHeight="1" x14ac:dyDescent="0.3">
      <c r="A17" s="12" t="s">
        <v>44</v>
      </c>
      <c r="B17" s="57"/>
      <c r="C17" s="57"/>
      <c r="D17" s="33"/>
      <c r="E17" s="40"/>
      <c r="F17" s="44">
        <v>13</v>
      </c>
      <c r="G17" s="25" t="str">
        <f t="shared" si="0"/>
        <v/>
      </c>
      <c r="H17" s="26" t="str">
        <f t="shared" si="2"/>
        <v/>
      </c>
      <c r="I17" s="49" t="b">
        <v>0</v>
      </c>
      <c r="J17" s="49" t="b">
        <v>0</v>
      </c>
      <c r="K17" s="49" t="b">
        <v>0</v>
      </c>
      <c r="L17" s="27" t="str">
        <f t="shared" si="1"/>
        <v/>
      </c>
    </row>
    <row r="18" spans="1:12" ht="20.25" customHeight="1" x14ac:dyDescent="0.3">
      <c r="A18" s="12"/>
      <c r="B18" s="57"/>
      <c r="C18" s="57"/>
      <c r="D18" s="33"/>
      <c r="E18" s="40"/>
      <c r="F18" s="44">
        <v>14</v>
      </c>
      <c r="G18" s="25" t="str">
        <f t="shared" si="0"/>
        <v/>
      </c>
      <c r="H18" s="26" t="str">
        <f t="shared" si="2"/>
        <v/>
      </c>
      <c r="I18" s="49" t="b">
        <v>0</v>
      </c>
      <c r="J18" s="49" t="b">
        <v>0</v>
      </c>
      <c r="K18" s="49" t="b">
        <v>0</v>
      </c>
      <c r="L18" s="27" t="str">
        <f t="shared" si="1"/>
        <v/>
      </c>
    </row>
    <row r="19" spans="1:12" ht="20.25" customHeight="1" x14ac:dyDescent="0.3">
      <c r="A19" s="12" t="s">
        <v>28</v>
      </c>
      <c r="B19" s="57"/>
      <c r="C19" s="57"/>
      <c r="D19" s="33"/>
      <c r="E19" s="40"/>
      <c r="F19" s="44">
        <v>15</v>
      </c>
      <c r="G19" s="25" t="str">
        <f t="shared" si="0"/>
        <v/>
      </c>
      <c r="H19" s="26" t="str">
        <f t="shared" si="2"/>
        <v/>
      </c>
      <c r="I19" s="49" t="b">
        <v>0</v>
      </c>
      <c r="J19" s="49" t="b">
        <v>0</v>
      </c>
      <c r="K19" s="49" t="b">
        <v>0</v>
      </c>
      <c r="L19" s="27" t="str">
        <f t="shared" si="1"/>
        <v/>
      </c>
    </row>
    <row r="20" spans="1:12" ht="20.25" customHeight="1" x14ac:dyDescent="0.3">
      <c r="A20" s="12" t="s">
        <v>18</v>
      </c>
      <c r="B20" s="46">
        <f>COUNTIF($H$4:$H$27,$C20)</f>
        <v>1</v>
      </c>
      <c r="C20" s="58">
        <v>14</v>
      </c>
      <c r="D20" s="58"/>
      <c r="E20" s="47">
        <f>B20*C20</f>
        <v>14</v>
      </c>
      <c r="F20" s="44">
        <v>16</v>
      </c>
      <c r="G20" s="25" t="str">
        <f t="shared" si="0"/>
        <v/>
      </c>
      <c r="H20" s="26" t="str">
        <f t="shared" si="2"/>
        <v/>
      </c>
      <c r="I20" s="49" t="b">
        <v>0</v>
      </c>
      <c r="J20" s="49" t="b">
        <v>0</v>
      </c>
      <c r="K20" s="49" t="b">
        <v>0</v>
      </c>
      <c r="L20" s="27" t="str">
        <f t="shared" si="1"/>
        <v/>
      </c>
    </row>
    <row r="21" spans="1:12" ht="20.25" customHeight="1" x14ac:dyDescent="0.3">
      <c r="A21" s="12" t="s">
        <v>20</v>
      </c>
      <c r="B21" s="46">
        <f>COUNTIF($H$4:$H$27,$C21)</f>
        <v>0</v>
      </c>
      <c r="C21" s="58">
        <v>28</v>
      </c>
      <c r="D21" s="58" t="s">
        <v>19</v>
      </c>
      <c r="E21" s="47">
        <f>B21*C21</f>
        <v>0</v>
      </c>
      <c r="F21" s="44">
        <v>17</v>
      </c>
      <c r="G21" s="25" t="str">
        <f t="shared" si="0"/>
        <v/>
      </c>
      <c r="H21" s="26" t="str">
        <f t="shared" si="2"/>
        <v/>
      </c>
      <c r="I21" s="49" t="b">
        <v>0</v>
      </c>
      <c r="J21" s="49" t="b">
        <v>0</v>
      </c>
      <c r="K21" s="49" t="b">
        <v>0</v>
      </c>
      <c r="L21" s="27" t="str">
        <f t="shared" si="1"/>
        <v/>
      </c>
    </row>
    <row r="22" spans="1:12" ht="20.25" customHeight="1" x14ac:dyDescent="0.3">
      <c r="A22" s="12" t="s">
        <v>16</v>
      </c>
      <c r="C22" s="28"/>
      <c r="D22" s="28"/>
      <c r="E22" s="47">
        <f>-SUM(L4:L27)</f>
        <v>0</v>
      </c>
      <c r="F22" s="44">
        <v>18</v>
      </c>
      <c r="G22" s="25" t="str">
        <f t="shared" si="0"/>
        <v/>
      </c>
      <c r="H22" s="26" t="str">
        <f t="shared" si="2"/>
        <v/>
      </c>
      <c r="I22" s="49" t="b">
        <v>0</v>
      </c>
      <c r="J22" s="49" t="b">
        <v>0</v>
      </c>
      <c r="K22" s="49" t="b">
        <v>0</v>
      </c>
      <c r="L22" s="27" t="str">
        <f t="shared" si="1"/>
        <v/>
      </c>
    </row>
    <row r="23" spans="1:12" ht="20.25" customHeight="1" x14ac:dyDescent="0.3">
      <c r="A23" s="45" t="s">
        <v>47</v>
      </c>
      <c r="B23" s="28"/>
      <c r="C23" s="28"/>
      <c r="E23" s="28">
        <f>SUM(E20:E22)</f>
        <v>14</v>
      </c>
      <c r="F23" s="44">
        <v>19</v>
      </c>
      <c r="G23" s="25" t="str">
        <f t="shared" si="0"/>
        <v/>
      </c>
      <c r="H23" s="26" t="str">
        <f t="shared" si="2"/>
        <v/>
      </c>
      <c r="I23" s="49" t="b">
        <v>0</v>
      </c>
      <c r="J23" s="49" t="b">
        <v>0</v>
      </c>
      <c r="K23" s="49" t="b">
        <v>0</v>
      </c>
      <c r="L23" s="27" t="str">
        <f t="shared" si="1"/>
        <v/>
      </c>
    </row>
    <row r="24" spans="1:12" ht="20.25" customHeight="1" x14ac:dyDescent="0.3">
      <c r="A24" s="39" t="s">
        <v>43</v>
      </c>
      <c r="B24" s="56">
        <f>SUM(E13:E15)+IF(B16=FALSE,E16,0)+SUM(E17:E19)+E23</f>
        <v>156.12</v>
      </c>
      <c r="C24" s="56"/>
      <c r="D24" s="56"/>
      <c r="E24" s="56"/>
      <c r="F24" s="44">
        <v>20</v>
      </c>
      <c r="G24" s="25" t="str">
        <f t="shared" si="0"/>
        <v/>
      </c>
      <c r="H24" s="26" t="str">
        <f t="shared" si="2"/>
        <v/>
      </c>
      <c r="I24" s="49" t="b">
        <v>0</v>
      </c>
      <c r="J24" s="49" t="b">
        <v>0</v>
      </c>
      <c r="K24" s="49" t="b">
        <v>0</v>
      </c>
      <c r="L24" s="27" t="str">
        <f t="shared" si="1"/>
        <v/>
      </c>
    </row>
    <row r="25" spans="1:12" ht="20.25" customHeight="1" x14ac:dyDescent="0.3">
      <c r="B25" s="3"/>
      <c r="C25" s="11"/>
      <c r="D25" s="3"/>
      <c r="E25" s="38"/>
      <c r="F25" s="44">
        <v>21</v>
      </c>
      <c r="G25" s="25" t="str">
        <f t="shared" si="0"/>
        <v/>
      </c>
      <c r="H25" s="26" t="str">
        <f t="shared" si="2"/>
        <v/>
      </c>
      <c r="I25" s="49" t="b">
        <v>0</v>
      </c>
      <c r="J25" s="49" t="b">
        <v>0</v>
      </c>
      <c r="K25" s="49" t="b">
        <v>0</v>
      </c>
      <c r="L25" s="27" t="str">
        <f t="shared" si="1"/>
        <v/>
      </c>
    </row>
    <row r="26" spans="1:12" ht="20.25" customHeight="1" x14ac:dyDescent="0.3">
      <c r="A26" s="10"/>
      <c r="F26" s="44">
        <v>22</v>
      </c>
      <c r="G26" s="25" t="str">
        <f t="shared" si="0"/>
        <v/>
      </c>
      <c r="H26" s="26" t="str">
        <f t="shared" si="2"/>
        <v/>
      </c>
      <c r="I26" s="49" t="b">
        <v>0</v>
      </c>
      <c r="J26" s="49" t="b">
        <v>0</v>
      </c>
      <c r="K26" s="49" t="b">
        <v>0</v>
      </c>
      <c r="L26" s="27" t="str">
        <f t="shared" si="1"/>
        <v/>
      </c>
    </row>
    <row r="27" spans="1:12" ht="25.5" customHeight="1" thickBot="1" x14ac:dyDescent="0.4">
      <c r="A27" s="9" t="s">
        <v>21</v>
      </c>
      <c r="F27" s="44">
        <v>23</v>
      </c>
      <c r="G27" s="25" t="str">
        <f t="shared" si="0"/>
        <v/>
      </c>
      <c r="H27" s="26" t="str">
        <f t="shared" si="2"/>
        <v/>
      </c>
      <c r="I27" s="50" t="b">
        <v>0</v>
      </c>
      <c r="J27" s="50" t="b">
        <v>0</v>
      </c>
      <c r="K27" s="50" t="b">
        <v>0</v>
      </c>
      <c r="L27" s="27" t="str">
        <f t="shared" si="1"/>
        <v/>
      </c>
    </row>
    <row r="28" spans="1:12" ht="130.5" customHeight="1" x14ac:dyDescent="0.3">
      <c r="A28" s="51" t="s">
        <v>61</v>
      </c>
      <c r="B28" s="52"/>
      <c r="C28" s="2"/>
      <c r="D28" s="2"/>
      <c r="E28" s="2"/>
      <c r="G28" s="20"/>
      <c r="H28" s="20"/>
      <c r="I28" s="20"/>
      <c r="J28" s="20"/>
      <c r="K28" s="20"/>
      <c r="L28" s="20"/>
    </row>
    <row r="29" spans="1:12" ht="11.25" customHeight="1" x14ac:dyDescent="0.3">
      <c r="A29" s="32" t="s">
        <v>22</v>
      </c>
      <c r="C29" s="54" t="s">
        <v>2</v>
      </c>
      <c r="D29" s="53"/>
      <c r="E29" s="53"/>
    </row>
  </sheetData>
  <sheetProtection algorithmName="SHA-512" hashValue="J1TZFQLuQnxqdqP0s/UysoCiygJDa1h58exjpODW3I0Fx96je2twsA/yFbDlfw9kBRnFyLImfQF5Gqmhvjfnaw==" saltValue="cebZXrNGExYGt9j1b1o8cg==" spinCount="100000" sheet="1" objects="1" scenarios="1" selectLockedCells="1"/>
  <mergeCells count="11">
    <mergeCell ref="D2:E2"/>
    <mergeCell ref="B24:E24"/>
    <mergeCell ref="D3:E3"/>
    <mergeCell ref="B8:E8"/>
    <mergeCell ref="B9:E9"/>
    <mergeCell ref="B17:C17"/>
    <mergeCell ref="B18:C18"/>
    <mergeCell ref="B19:C19"/>
    <mergeCell ref="C20:D20"/>
    <mergeCell ref="C21:D21"/>
    <mergeCell ref="B10:E10"/>
  </mergeCells>
  <conditionalFormatting sqref="B2:B3 D2:D3 B6:B7 D6:D7 B8:E10 B13:B15 E16:E19 B17:C19">
    <cfRule type="containsBlanks" dxfId="1" priority="9">
      <formula>LEN(TRIM(B2))=0</formula>
    </cfRule>
  </conditionalFormatting>
  <conditionalFormatting sqref="I4:K27">
    <cfRule type="expression" dxfId="0" priority="1">
      <formula>$G4=""</formula>
    </cfRule>
  </conditionalFormatting>
  <dataValidations count="1">
    <dataValidation type="decimal" operator="lessThan" allowBlank="1" showInputMessage="1" showErrorMessage="1" sqref="B13:B15" xr:uid="{9106C3E5-DD0D-4DC4-B994-A8044D3C81A0}">
      <formula1>1000000</formula1>
    </dataValidation>
  </dataValidations>
  <printOptions horizontalCentered="1" verticalCentered="1"/>
  <pageMargins left="0.78740157480314965" right="0.78740157480314965" top="0.78740157480314965" bottom="0.78740157480314965" header="0.19685039370078741" footer="0.19685039370078741"/>
  <pageSetup paperSize="9" orientation="portrait" r:id="rId1"/>
  <headerFooter>
    <oddHeader>&amp;L&amp;K000000
&amp;8FO U4202 V7&amp;C&amp;"+,Fett"&amp;12&amp;K000000
&amp;18&amp;A&amp;R&amp;G</oddHeader>
    <oddFooter>&amp;L
&amp;G
&amp;C&amp;"+,Standard"&amp;8LIVA Power Management Systems GmbH&amp;R&amp;P /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12700</xdr:rowOff>
                  </from>
                  <to>
                    <xdr:col>2</xdr:col>
                    <xdr:colOff>609600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FCE79D-1E9E-49D1-8954-E4FC11F2AA17}">
          <x14:formula1>
            <xm:f>Datentabellen!$A$2:$A$10</xm:f>
          </x14:formula1>
          <xm:sqref>A13:A15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56C8-82A7-4BA8-8D86-B9BA9009DAF8}">
  <sheetPr codeName="Tabelle4"/>
  <dimension ref="A1:F98"/>
  <sheetViews>
    <sheetView workbookViewId="0">
      <selection activeCell="D17" sqref="D17"/>
    </sheetView>
  </sheetViews>
  <sheetFormatPr baseColWidth="10" defaultColWidth="12.54296875" defaultRowHeight="16" x14ac:dyDescent="0.4"/>
  <cols>
    <col min="1" max="1" width="33.54296875" style="6" customWidth="1"/>
    <col min="2" max="2" width="19.54296875" style="6" customWidth="1"/>
    <col min="3" max="3" width="12.54296875" style="6"/>
    <col min="4" max="4" width="16" style="6" customWidth="1"/>
    <col min="5" max="16384" width="12.54296875" style="6"/>
  </cols>
  <sheetData>
    <row r="1" spans="1:6" ht="18.75" customHeight="1" x14ac:dyDescent="0.45">
      <c r="A1" s="13" t="s">
        <v>23</v>
      </c>
      <c r="B1" s="14" t="s">
        <v>24</v>
      </c>
      <c r="C1" s="14" t="s">
        <v>25</v>
      </c>
      <c r="D1" s="14" t="s">
        <v>26</v>
      </c>
      <c r="E1" s="8"/>
      <c r="F1" s="7" t="s">
        <v>27</v>
      </c>
    </row>
    <row r="2" spans="1:6" x14ac:dyDescent="0.4">
      <c r="A2" s="6" t="s">
        <v>14</v>
      </c>
      <c r="C2" s="29" t="s">
        <v>28</v>
      </c>
      <c r="D2" s="29">
        <v>1</v>
      </c>
      <c r="F2" s="19">
        <v>0</v>
      </c>
    </row>
    <row r="3" spans="1:6" x14ac:dyDescent="0.4">
      <c r="A3" s="6" t="s">
        <v>29</v>
      </c>
      <c r="B3" s="6" t="s">
        <v>30</v>
      </c>
      <c r="C3" s="6" t="s">
        <v>31</v>
      </c>
      <c r="D3" s="6">
        <v>1</v>
      </c>
      <c r="F3" s="19">
        <v>1.0416666666666666E-2</v>
      </c>
    </row>
    <row r="4" spans="1:6" x14ac:dyDescent="0.4">
      <c r="A4" s="6" t="s">
        <v>48</v>
      </c>
      <c r="B4" s="6" t="s">
        <v>46</v>
      </c>
      <c r="C4" s="6" t="s">
        <v>31</v>
      </c>
      <c r="D4" s="6">
        <v>1</v>
      </c>
      <c r="F4" s="19">
        <v>2.0833333333333301E-2</v>
      </c>
    </row>
    <row r="5" spans="1:6" x14ac:dyDescent="0.4">
      <c r="A5" s="6" t="s">
        <v>45</v>
      </c>
      <c r="B5" s="6" t="s">
        <v>46</v>
      </c>
      <c r="C5" s="6" t="s">
        <v>31</v>
      </c>
      <c r="D5" s="6">
        <v>1</v>
      </c>
      <c r="F5" s="19">
        <v>3.125E-2</v>
      </c>
    </row>
    <row r="6" spans="1:6" x14ac:dyDescent="0.4">
      <c r="A6" s="6" t="s">
        <v>32</v>
      </c>
      <c r="B6" s="6" t="s">
        <v>33</v>
      </c>
      <c r="C6" s="6" t="s">
        <v>34</v>
      </c>
      <c r="D6" s="6">
        <v>0.38</v>
      </c>
      <c r="F6" s="19">
        <v>4.1666666666666699E-2</v>
      </c>
    </row>
    <row r="7" spans="1:6" x14ac:dyDescent="0.4">
      <c r="A7" s="6" t="s">
        <v>35</v>
      </c>
      <c r="B7" s="6" t="s">
        <v>36</v>
      </c>
      <c r="C7" s="6" t="s">
        <v>31</v>
      </c>
      <c r="D7" s="6">
        <v>1</v>
      </c>
      <c r="F7" s="19">
        <v>5.2083333333333301E-2</v>
      </c>
    </row>
    <row r="8" spans="1:6" x14ac:dyDescent="0.4">
      <c r="A8" s="6" t="s">
        <v>37</v>
      </c>
      <c r="B8" s="6" t="s">
        <v>38</v>
      </c>
      <c r="C8" s="6" t="s">
        <v>31</v>
      </c>
      <c r="D8" s="6">
        <v>1</v>
      </c>
      <c r="F8" s="19">
        <v>6.25E-2</v>
      </c>
    </row>
    <row r="9" spans="1:6" x14ac:dyDescent="0.4">
      <c r="A9" s="6" t="s">
        <v>39</v>
      </c>
      <c r="B9" s="6" t="s">
        <v>40</v>
      </c>
      <c r="C9" s="6" t="s">
        <v>31</v>
      </c>
      <c r="D9" s="6">
        <v>1</v>
      </c>
      <c r="F9" s="19">
        <v>7.2916666666666699E-2</v>
      </c>
    </row>
    <row r="10" spans="1:6" x14ac:dyDescent="0.4">
      <c r="A10" s="6" t="s">
        <v>41</v>
      </c>
      <c r="B10" s="6" t="s">
        <v>42</v>
      </c>
      <c r="C10" s="6" t="s">
        <v>31</v>
      </c>
      <c r="D10" s="6">
        <v>1</v>
      </c>
      <c r="F10" s="19">
        <v>8.3333333333333301E-2</v>
      </c>
    </row>
    <row r="11" spans="1:6" x14ac:dyDescent="0.4">
      <c r="F11" s="19">
        <v>9.375E-2</v>
      </c>
    </row>
    <row r="12" spans="1:6" x14ac:dyDescent="0.4">
      <c r="F12" s="19">
        <v>0.104166666666667</v>
      </c>
    </row>
    <row r="13" spans="1:6" x14ac:dyDescent="0.4">
      <c r="F13" s="19">
        <v>0.114583333333333</v>
      </c>
    </row>
    <row r="14" spans="1:6" x14ac:dyDescent="0.4">
      <c r="F14" s="19">
        <v>0.125</v>
      </c>
    </row>
    <row r="15" spans="1:6" x14ac:dyDescent="0.4">
      <c r="F15" s="19">
        <v>0.13541666666666699</v>
      </c>
    </row>
    <row r="16" spans="1:6" x14ac:dyDescent="0.4">
      <c r="F16" s="19">
        <v>0.14583333333333301</v>
      </c>
    </row>
    <row r="17" spans="6:6" x14ac:dyDescent="0.4">
      <c r="F17" s="19">
        <v>0.15625</v>
      </c>
    </row>
    <row r="18" spans="6:6" x14ac:dyDescent="0.4">
      <c r="F18" s="19">
        <v>0.16666666666666699</v>
      </c>
    </row>
    <row r="19" spans="6:6" x14ac:dyDescent="0.4">
      <c r="F19" s="19">
        <v>0.17708333333333301</v>
      </c>
    </row>
    <row r="20" spans="6:6" x14ac:dyDescent="0.4">
      <c r="F20" s="19">
        <v>0.1875</v>
      </c>
    </row>
    <row r="21" spans="6:6" x14ac:dyDescent="0.4">
      <c r="F21" s="19">
        <v>0.19791666666666699</v>
      </c>
    </row>
    <row r="22" spans="6:6" x14ac:dyDescent="0.4">
      <c r="F22" s="19">
        <v>0.20833333333333301</v>
      </c>
    </row>
    <row r="23" spans="6:6" x14ac:dyDescent="0.4">
      <c r="F23" s="19">
        <v>0.21875</v>
      </c>
    </row>
    <row r="24" spans="6:6" x14ac:dyDescent="0.4">
      <c r="F24" s="19">
        <v>0.22916666666666699</v>
      </c>
    </row>
    <row r="25" spans="6:6" x14ac:dyDescent="0.4">
      <c r="F25" s="19">
        <v>0.23958333333333301</v>
      </c>
    </row>
    <row r="26" spans="6:6" x14ac:dyDescent="0.4">
      <c r="F26" s="19">
        <v>0.25</v>
      </c>
    </row>
    <row r="27" spans="6:6" x14ac:dyDescent="0.4">
      <c r="F27" s="19">
        <v>0.26041666666666702</v>
      </c>
    </row>
    <row r="28" spans="6:6" x14ac:dyDescent="0.4">
      <c r="F28" s="19">
        <v>0.27083333333333298</v>
      </c>
    </row>
    <row r="29" spans="6:6" x14ac:dyDescent="0.4">
      <c r="F29" s="19">
        <v>0.28125</v>
      </c>
    </row>
    <row r="30" spans="6:6" x14ac:dyDescent="0.4">
      <c r="F30" s="19">
        <v>0.29166666666666702</v>
      </c>
    </row>
    <row r="31" spans="6:6" x14ac:dyDescent="0.4">
      <c r="F31" s="19">
        <v>0.30208333333333298</v>
      </c>
    </row>
    <row r="32" spans="6:6" x14ac:dyDescent="0.4">
      <c r="F32" s="19">
        <v>0.3125</v>
      </c>
    </row>
    <row r="33" spans="6:6" x14ac:dyDescent="0.4">
      <c r="F33" s="19">
        <v>0.32291666666666702</v>
      </c>
    </row>
    <row r="34" spans="6:6" x14ac:dyDescent="0.4">
      <c r="F34" s="19">
        <v>0.33333333333333298</v>
      </c>
    </row>
    <row r="35" spans="6:6" x14ac:dyDescent="0.4">
      <c r="F35" s="19">
        <v>0.34375</v>
      </c>
    </row>
    <row r="36" spans="6:6" x14ac:dyDescent="0.4">
      <c r="F36" s="19">
        <v>0.35416666666666702</v>
      </c>
    </row>
    <row r="37" spans="6:6" x14ac:dyDescent="0.4">
      <c r="F37" s="19">
        <v>0.36458333333333298</v>
      </c>
    </row>
    <row r="38" spans="6:6" x14ac:dyDescent="0.4">
      <c r="F38" s="19">
        <v>0.375</v>
      </c>
    </row>
    <row r="39" spans="6:6" x14ac:dyDescent="0.4">
      <c r="F39" s="19">
        <v>0.38541666666666702</v>
      </c>
    </row>
    <row r="40" spans="6:6" x14ac:dyDescent="0.4">
      <c r="F40" s="19">
        <v>0.39583333333333298</v>
      </c>
    </row>
    <row r="41" spans="6:6" x14ac:dyDescent="0.4">
      <c r="F41" s="19">
        <v>0.40625</v>
      </c>
    </row>
    <row r="42" spans="6:6" x14ac:dyDescent="0.4">
      <c r="F42" s="19">
        <v>0.41666666666666702</v>
      </c>
    </row>
    <row r="43" spans="6:6" x14ac:dyDescent="0.4">
      <c r="F43" s="19">
        <v>0.42708333333333298</v>
      </c>
    </row>
    <row r="44" spans="6:6" x14ac:dyDescent="0.4">
      <c r="F44" s="19">
        <v>0.4375</v>
      </c>
    </row>
    <row r="45" spans="6:6" x14ac:dyDescent="0.4">
      <c r="F45" s="19">
        <v>0.44791666666666702</v>
      </c>
    </row>
    <row r="46" spans="6:6" x14ac:dyDescent="0.4">
      <c r="F46" s="19">
        <v>0.45833333333333298</v>
      </c>
    </row>
    <row r="47" spans="6:6" x14ac:dyDescent="0.4">
      <c r="F47" s="19">
        <v>0.46875</v>
      </c>
    </row>
    <row r="48" spans="6:6" x14ac:dyDescent="0.4">
      <c r="F48" s="19">
        <v>0.47916666666666702</v>
      </c>
    </row>
    <row r="49" spans="6:6" x14ac:dyDescent="0.4">
      <c r="F49" s="19">
        <v>0.48958333333333298</v>
      </c>
    </row>
    <row r="50" spans="6:6" x14ac:dyDescent="0.4">
      <c r="F50" s="19">
        <v>0.5</v>
      </c>
    </row>
    <row r="51" spans="6:6" x14ac:dyDescent="0.4">
      <c r="F51" s="19">
        <v>0.51041666666666696</v>
      </c>
    </row>
    <row r="52" spans="6:6" x14ac:dyDescent="0.4">
      <c r="F52" s="19">
        <v>0.52083333333333304</v>
      </c>
    </row>
    <row r="53" spans="6:6" x14ac:dyDescent="0.4">
      <c r="F53" s="19">
        <v>0.53125</v>
      </c>
    </row>
    <row r="54" spans="6:6" x14ac:dyDescent="0.4">
      <c r="F54" s="19">
        <v>0.54166666666666696</v>
      </c>
    </row>
    <row r="55" spans="6:6" x14ac:dyDescent="0.4">
      <c r="F55" s="19">
        <v>0.55208333333333304</v>
      </c>
    </row>
    <row r="56" spans="6:6" x14ac:dyDescent="0.4">
      <c r="F56" s="19">
        <v>0.5625</v>
      </c>
    </row>
    <row r="57" spans="6:6" x14ac:dyDescent="0.4">
      <c r="F57" s="19">
        <v>0.57291666666666696</v>
      </c>
    </row>
    <row r="58" spans="6:6" x14ac:dyDescent="0.4">
      <c r="F58" s="19">
        <v>0.58333333333333304</v>
      </c>
    </row>
    <row r="59" spans="6:6" x14ac:dyDescent="0.4">
      <c r="F59" s="19">
        <v>0.59375</v>
      </c>
    </row>
    <row r="60" spans="6:6" x14ac:dyDescent="0.4">
      <c r="F60" s="19">
        <v>0.60416666666666696</v>
      </c>
    </row>
    <row r="61" spans="6:6" x14ac:dyDescent="0.4">
      <c r="F61" s="19">
        <v>0.61458333333333304</v>
      </c>
    </row>
    <row r="62" spans="6:6" x14ac:dyDescent="0.4">
      <c r="F62" s="19">
        <v>0.625</v>
      </c>
    </row>
    <row r="63" spans="6:6" x14ac:dyDescent="0.4">
      <c r="F63" s="19">
        <v>0.63541666666666696</v>
      </c>
    </row>
    <row r="64" spans="6:6" x14ac:dyDescent="0.4">
      <c r="F64" s="19">
        <v>0.64583333333333304</v>
      </c>
    </row>
    <row r="65" spans="6:6" x14ac:dyDescent="0.4">
      <c r="F65" s="19">
        <v>0.65625</v>
      </c>
    </row>
    <row r="66" spans="6:6" x14ac:dyDescent="0.4">
      <c r="F66" s="19">
        <v>0.66666666666666696</v>
      </c>
    </row>
    <row r="67" spans="6:6" x14ac:dyDescent="0.4">
      <c r="F67" s="19">
        <v>0.67708333333333304</v>
      </c>
    </row>
    <row r="68" spans="6:6" x14ac:dyDescent="0.4">
      <c r="F68" s="19">
        <v>0.6875</v>
      </c>
    </row>
    <row r="69" spans="6:6" x14ac:dyDescent="0.4">
      <c r="F69" s="19">
        <v>0.69791666666666696</v>
      </c>
    </row>
    <row r="70" spans="6:6" x14ac:dyDescent="0.4">
      <c r="F70" s="19">
        <v>0.70833333333333304</v>
      </c>
    </row>
    <row r="71" spans="6:6" x14ac:dyDescent="0.4">
      <c r="F71" s="19">
        <v>0.71875</v>
      </c>
    </row>
    <row r="72" spans="6:6" x14ac:dyDescent="0.4">
      <c r="F72" s="19">
        <v>0.72916666666666696</v>
      </c>
    </row>
    <row r="73" spans="6:6" x14ac:dyDescent="0.4">
      <c r="F73" s="19">
        <v>0.73958333333333304</v>
      </c>
    </row>
    <row r="74" spans="6:6" x14ac:dyDescent="0.4">
      <c r="F74" s="19">
        <v>0.75</v>
      </c>
    </row>
    <row r="75" spans="6:6" x14ac:dyDescent="0.4">
      <c r="F75" s="19">
        <v>0.76041666666666696</v>
      </c>
    </row>
    <row r="76" spans="6:6" x14ac:dyDescent="0.4">
      <c r="F76" s="19">
        <v>0.77083333333333304</v>
      </c>
    </row>
    <row r="77" spans="6:6" x14ac:dyDescent="0.4">
      <c r="F77" s="19">
        <v>0.78125</v>
      </c>
    </row>
    <row r="78" spans="6:6" x14ac:dyDescent="0.4">
      <c r="F78" s="19">
        <v>0.79166666666666696</v>
      </c>
    </row>
    <row r="79" spans="6:6" x14ac:dyDescent="0.4">
      <c r="F79" s="19">
        <v>0.80208333333333304</v>
      </c>
    </row>
    <row r="80" spans="6:6" x14ac:dyDescent="0.4">
      <c r="F80" s="19">
        <v>0.8125</v>
      </c>
    </row>
    <row r="81" spans="6:6" x14ac:dyDescent="0.4">
      <c r="F81" s="19">
        <v>0.82291666666666696</v>
      </c>
    </row>
    <row r="82" spans="6:6" x14ac:dyDescent="0.4">
      <c r="F82" s="19">
        <v>0.83333333333333304</v>
      </c>
    </row>
    <row r="83" spans="6:6" x14ac:dyDescent="0.4">
      <c r="F83" s="19">
        <v>0.84375</v>
      </c>
    </row>
    <row r="84" spans="6:6" x14ac:dyDescent="0.4">
      <c r="F84" s="19">
        <v>0.85416666666666696</v>
      </c>
    </row>
    <row r="85" spans="6:6" x14ac:dyDescent="0.4">
      <c r="F85" s="19">
        <v>0.86458333333333304</v>
      </c>
    </row>
    <row r="86" spans="6:6" x14ac:dyDescent="0.4">
      <c r="F86" s="19">
        <v>0.875</v>
      </c>
    </row>
    <row r="87" spans="6:6" x14ac:dyDescent="0.4">
      <c r="F87" s="19">
        <v>0.88541666666666696</v>
      </c>
    </row>
    <row r="88" spans="6:6" x14ac:dyDescent="0.4">
      <c r="F88" s="19">
        <v>0.89583333333333304</v>
      </c>
    </row>
    <row r="89" spans="6:6" x14ac:dyDescent="0.4">
      <c r="F89" s="19">
        <v>0.90625</v>
      </c>
    </row>
    <row r="90" spans="6:6" x14ac:dyDescent="0.4">
      <c r="F90" s="19">
        <v>0.91666666666666696</v>
      </c>
    </row>
    <row r="91" spans="6:6" x14ac:dyDescent="0.4">
      <c r="F91" s="19">
        <v>0.92708333333333304</v>
      </c>
    </row>
    <row r="92" spans="6:6" x14ac:dyDescent="0.4">
      <c r="F92" s="19">
        <v>0.9375</v>
      </c>
    </row>
    <row r="93" spans="6:6" x14ac:dyDescent="0.4">
      <c r="F93" s="19">
        <v>0.94791666666666696</v>
      </c>
    </row>
    <row r="94" spans="6:6" x14ac:dyDescent="0.4">
      <c r="F94" s="19">
        <v>0.95833333333333304</v>
      </c>
    </row>
    <row r="95" spans="6:6" x14ac:dyDescent="0.4">
      <c r="F95" s="19">
        <v>0.96875</v>
      </c>
    </row>
    <row r="96" spans="6:6" x14ac:dyDescent="0.4">
      <c r="F96" s="19">
        <v>0.97916666666666696</v>
      </c>
    </row>
    <row r="97" spans="6:6" x14ac:dyDescent="0.4">
      <c r="F97" s="19">
        <v>0.98958333333333304</v>
      </c>
    </row>
    <row r="98" spans="6:6" x14ac:dyDescent="0.4">
      <c r="F98" s="19"/>
    </row>
  </sheetData>
  <sheetProtection selectLockedCells="1" selectUnlockedCells="1"/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4cf596-719e-4132-a476-1efe270949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78A1CBA3FC144DA09523DEFB6981F8" ma:contentTypeVersion="11" ma:contentTypeDescription="Ein neues Dokument erstellen." ma:contentTypeScope="" ma:versionID="54c279c518ceac869791e32dfb6c70ba">
  <xsd:schema xmlns:xsd="http://www.w3.org/2001/XMLSchema" xmlns:xs="http://www.w3.org/2001/XMLSchema" xmlns:p="http://schemas.microsoft.com/office/2006/metadata/properties" xmlns:ns3="354cf596-719e-4132-a476-1efe27094944" targetNamespace="http://schemas.microsoft.com/office/2006/metadata/properties" ma:root="true" ma:fieldsID="547699eaf3fe4b182ac9f1c3a0496b04" ns3:_="">
    <xsd:import namespace="354cf596-719e-4132-a476-1efe270949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cf596-719e-4132-a476-1efe270949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F4946-69C1-473C-A582-1BEF52F0BD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9A94C3-20DC-4373-8A06-825A7DD4BD89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54cf596-719e-4132-a476-1efe2709494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BD7C0D-DE2C-4F71-AB55-75B0F247F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cf596-719e-4132-a476-1efe27094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Reisekostenabrechung</vt:lpstr>
      <vt:lpstr>Datentabellen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Rue, Gijs</dc:creator>
  <cp:keywords/>
  <dc:description/>
  <cp:lastModifiedBy>Nunn, Matthias</cp:lastModifiedBy>
  <cp:revision/>
  <dcterms:created xsi:type="dcterms:W3CDTF">2024-07-22T13:57:40Z</dcterms:created>
  <dcterms:modified xsi:type="dcterms:W3CDTF">2026-01-30T09:57:49Z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0x010100ED78A1CBA3FC144DA09523DEFB6981F8</vt:lpwstr>
  </property>
</Properties>
</file>